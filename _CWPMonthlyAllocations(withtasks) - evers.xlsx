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KatherineEvers\Downloads\"/>
    </mc:Choice>
  </mc:AlternateContent>
  <xr:revisionPtr revIDLastSave="0" documentId="8_{AB54BD36-E90E-434E-BFE0-87E982703C51}" xr6:coauthVersionLast="47" xr6:coauthVersionMax="47" xr10:uidLastSave="{00000000-0000-0000-0000-000000000000}"/>
  <bookViews>
    <workbookView xWindow="-28920" yWindow="-5775" windowWidth="29040" windowHeight="15720" xr2:uid="{00000000-000D-0000-FFFF-FFFF00000000}"/>
  </bookViews>
  <sheets>
    <sheet name="Sheet1" sheetId="1" r:id="rId1"/>
  </sheets>
  <definedNames>
    <definedName name="_xlnm.Print_Titles" localSheetId="0">Sheet1!$A:$A,Sheet1!$1:$1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52" i="1" l="1"/>
  <c r="V52" i="1"/>
  <c r="U52" i="1"/>
  <c r="T52" i="1"/>
  <c r="S52" i="1"/>
  <c r="R52" i="1"/>
  <c r="Q52" i="1"/>
  <c r="P52" i="1"/>
  <c r="O52" i="1"/>
  <c r="N52" i="1"/>
  <c r="M52" i="1"/>
  <c r="L52" i="1"/>
  <c r="K52" i="1"/>
  <c r="J52" i="1"/>
  <c r="I52" i="1"/>
  <c r="H52" i="1"/>
  <c r="G52" i="1"/>
  <c r="F52" i="1"/>
  <c r="E52" i="1"/>
</calcChain>
</file>

<file path=xl/sharedStrings.xml><?xml version="1.0" encoding="utf-8"?>
<sst xmlns="http://schemas.openxmlformats.org/spreadsheetml/2006/main" count="322" uniqueCount="104">
  <si>
    <t>Staff</t>
  </si>
  <si>
    <t xml:space="preserve">Job </t>
  </si>
  <si>
    <t>Allocations Last Updated</t>
  </si>
  <si>
    <t>Coordination and communication</t>
  </si>
  <si>
    <t>W-22-026 Technical Assistance for Stormwater Management and Related Regulations</t>
  </si>
  <si>
    <t>2026 - Instructor Engagement</t>
  </si>
  <si>
    <t>AUG 2026</t>
  </si>
  <si>
    <t>MAR 2027</t>
  </si>
  <si>
    <t>2. Virtual design forum and retrofit guidance</t>
  </si>
  <si>
    <t>2. Meeting with DOEE Staff</t>
  </si>
  <si>
    <t>project prioritization</t>
  </si>
  <si>
    <t>T-26-005 CWC Delivery in Pasadena CA</t>
  </si>
  <si>
    <t>APR 2026</t>
  </si>
  <si>
    <t>Billing Status</t>
  </si>
  <si>
    <t>W-25-003 2025-2026 Campbell Foundation Chesapeake Bay Watershed Technical Assistance</t>
  </si>
  <si>
    <t>Assist with local trainings</t>
  </si>
  <si>
    <t>2026 - Miscellaneous CWC</t>
  </si>
  <si>
    <t>2026 - Oversight Committee</t>
  </si>
  <si>
    <t>Final watershed plan</t>
  </si>
  <si>
    <t>JUN 2026</t>
  </si>
  <si>
    <t>Combined Leave</t>
  </si>
  <si>
    <t>Project work</t>
  </si>
  <si>
    <t>Disseminate curriculum</t>
  </si>
  <si>
    <t>2026 - PM and meetings</t>
  </si>
  <si>
    <t>2026 - Materials Updates</t>
  </si>
  <si>
    <t>T-15-999 Training Proposal</t>
  </si>
  <si>
    <t>Draft watershed plan</t>
  </si>
  <si>
    <t>Active</t>
  </si>
  <si>
    <t>O-09-018 Staff Meetings</t>
  </si>
  <si>
    <t>O-09-022E Employee Leave - Holidays</t>
  </si>
  <si>
    <t>W-24-054 Carrie Murray Nature Center Stormwater Design</t>
  </si>
  <si>
    <t>R-26-001 Evaluating Bioretention Maintenance Practices to Improve Performance and BMP Design</t>
  </si>
  <si>
    <t>Evers, Kaitie</t>
  </si>
  <si>
    <t>Charette meeting and prep</t>
  </si>
  <si>
    <t>OCT 2026</t>
  </si>
  <si>
    <t>JAN 2027</t>
  </si>
  <si>
    <t>AUG 2027</t>
  </si>
  <si>
    <t>Staff Meetings</t>
  </si>
  <si>
    <t>W-24-038 SRC Purchase Agreement Program Management and Expansion</t>
  </si>
  <si>
    <t>O-14-002 Conference Attendance</t>
  </si>
  <si>
    <t>Completed (Closed)</t>
  </si>
  <si>
    <t>Lost</t>
  </si>
  <si>
    <t>4. Develop outreach and summary materials of products</t>
  </si>
  <si>
    <t>2026 - ANSI</t>
  </si>
  <si>
    <t>Task</t>
  </si>
  <si>
    <t>Task Priority</t>
  </si>
  <si>
    <t>Low</t>
  </si>
  <si>
    <t>T-26-002 Advancing the State of Watershed Planning Through Improved Training and Tools</t>
  </si>
  <si>
    <t>Tasks</t>
  </si>
  <si>
    <t>Training Overhead</t>
  </si>
  <si>
    <t>W-24-022 Carroll County Watershed Planning and Outreach</t>
  </si>
  <si>
    <t>Clean Water Certificate Program</t>
  </si>
  <si>
    <t>SEP 2026</t>
  </si>
  <si>
    <t>NOV 2026</t>
  </si>
  <si>
    <t>APR 2027</t>
  </si>
  <si>
    <t>JUN 2027</t>
  </si>
  <si>
    <t>final report</t>
  </si>
  <si>
    <t>Design nature playspace</t>
  </si>
  <si>
    <t>3C. Access to Capital Admin</t>
  </si>
  <si>
    <t>W-25-009 Somerset County Regional Coordinator</t>
  </si>
  <si>
    <t>Work</t>
  </si>
  <si>
    <t>JUL 2026</t>
  </si>
  <si>
    <t>DEC 2026</t>
  </si>
  <si>
    <t>Holiday</t>
  </si>
  <si>
    <t>Create training activities</t>
  </si>
  <si>
    <t>T-21-010 Clean Water Certificate Instructor Prep Training (IPP)</t>
  </si>
  <si>
    <t>create outreach materials</t>
  </si>
  <si>
    <t>FEB 2027</t>
  </si>
  <si>
    <t>O-09-019 Supervision</t>
  </si>
  <si>
    <t>O-09-022A Employee Leave - Combined</t>
  </si>
  <si>
    <t>Training &amp; Education In-House:Virtual Office</t>
  </si>
  <si>
    <t>R-24-001 Coastal Stormwater Center of the Southeast</t>
  </si>
  <si>
    <t>W-24-058 Gaithersburg Watershed Plans Update</t>
  </si>
  <si>
    <t>Proposal</t>
  </si>
  <si>
    <t>Task 3 - Mid America GSI Trainings</t>
  </si>
  <si>
    <t>2026 - Outreach and marketing</t>
  </si>
  <si>
    <t>2B. Startup Grant admin</t>
  </si>
  <si>
    <t>MAY 2026</t>
  </si>
  <si>
    <t>Total Allocated Hours</t>
  </si>
  <si>
    <t>Supervision</t>
  </si>
  <si>
    <t>Task 1: Project Management and Meetings</t>
  </si>
  <si>
    <t>Task 4 - WFD</t>
  </si>
  <si>
    <t>2026 - Instructor Cohorts</t>
  </si>
  <si>
    <t>W-22-029b Wicomico County MS4 Assistance 2026</t>
  </si>
  <si>
    <t>Production Status</t>
  </si>
  <si>
    <t>In Process</t>
  </si>
  <si>
    <t>Production Hold</t>
  </si>
  <si>
    <t>project meetings</t>
  </si>
  <si>
    <t>T-23-007 Kansas City Regional Water Workforce Initiative</t>
  </si>
  <si>
    <t>1. Project meetings</t>
  </si>
  <si>
    <t>Project meetings</t>
  </si>
  <si>
    <t>MAR 2026</t>
  </si>
  <si>
    <t>JUL 2027</t>
  </si>
  <si>
    <t>O-10-001 Training &amp; Education In-House</t>
  </si>
  <si>
    <t>Conference Attendance</t>
  </si>
  <si>
    <t>Task 2 - Outreach</t>
  </si>
  <si>
    <t>T-09-999 Training Overhead</t>
  </si>
  <si>
    <t>Training Proposal</t>
  </si>
  <si>
    <t>Coordination</t>
  </si>
  <si>
    <t>MAY 2027</t>
  </si>
  <si>
    <t>Create PPTs and notes</t>
  </si>
  <si>
    <t>2026 - IPP Onboarding &amp; Enrollment</t>
  </si>
  <si>
    <t>T-26-004 Collaborative Peer Learning Program on Nature Based Solutions for Coastal Resilience</t>
  </si>
  <si>
    <t>post processing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</si>
</sst>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/yy"/>
    <numFmt numFmtId="165" formatCode="#,##0.00;\-#,##0.00;\-\-;\-\-"/>
    <numFmt numFmtId="166" formatCode="@\ \ "/>
  </numFmts>
  <fonts count="4" x14ac:knownFonts="1">
    <font>
      <sz val="11"/>
      <color theme="1"/>
      <name val="Calibri"/>
      <family val="2"/>
      <scheme val="minor"/>
    </font>
    <font>
      <b/>
      <sz val="10"/>
      <color rgb="FF3399FF"/>
      <name val="Calibri"/>
      <family val="2"/>
    </font>
    <font>
      <b/>
      <sz val="10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rgb="FF696969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165" fontId="1" fillId="0" borderId="1" xfId="0" applyNumberFormat="1" applyFont="1" applyBorder="1" applyAlignment="1">
      <alignment horizontal="right" vertical="center" wrapText="1"/>
    </xf>
    <xf numFmtId="165" fontId="1" fillId="0" borderId="1" xfId="0" applyNumberFormat="1" applyFont="1" applyBorder="1" applyAlignment="1">
      <alignment horizontal="right" vertical="center"/>
    </xf>
    <xf numFmtId="0" fontId="2" fillId="0" borderId="2" xfId="0" quotePrefix="1" applyFont="1" applyBorder="1" applyAlignment="1">
      <alignment horizontal="right" vertical="center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right" vertical="center"/>
    </xf>
    <xf numFmtId="49" fontId="3" fillId="0" borderId="0" xfId="0" applyNumberFormat="1" applyFont="1" applyAlignment="1">
      <alignment horizontal="left" vertical="center"/>
    </xf>
    <xf numFmtId="165" fontId="3" fillId="0" borderId="0" xfId="0" applyNumberFormat="1" applyFont="1" applyAlignment="1">
      <alignment horizontal="right" vertical="center" wrapText="1"/>
    </xf>
    <xf numFmtId="49" fontId="3" fillId="0" borderId="0" xfId="0" applyNumberFormat="1" applyFont="1" applyAlignment="1">
      <alignment horizontal="left" vertical="center" wrapText="1"/>
    </xf>
    <xf numFmtId="165" fontId="3" fillId="0" borderId="0" xfId="0" applyNumberFormat="1" applyFont="1" applyAlignment="1">
      <alignment horizontal="right" vertical="center"/>
    </xf>
    <xf numFmtId="164" fontId="3" fillId="0" borderId="0" xfId="0" applyNumberFormat="1" applyFont="1" applyAlignment="1">
      <alignment horizontal="right" vertical="center" wrapText="1"/>
    </xf>
    <xf numFmtId="0" fontId="1" fillId="0" borderId="0" xfId="0" applyFont="1" applyAlignment="1">
      <alignment horizontal="left" vertical="center"/>
    </xf>
    <xf numFmtId="166" fontId="1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52"/>
  <sheetViews>
    <sheetView tabSelected="1" topLeftCell="B1" workbookViewId="0">
      <selection activeCell="A2" sqref="A2:XFD383"/>
    </sheetView>
  </sheetViews>
  <sheetFormatPr defaultRowHeight="14.4" x14ac:dyDescent="0.3"/>
  <cols>
    <col min="1" max="1" width="8.88671875" style="6" hidden="1" customWidth="1"/>
    <col min="2" max="2" width="51.33203125" style="8" customWidth="1"/>
    <col min="3" max="3" width="21.88671875" style="8" customWidth="1"/>
    <col min="4" max="4" width="8.33203125" style="10" hidden="1" customWidth="1"/>
    <col min="5" max="6" width="10.21875" style="7" customWidth="1"/>
    <col min="7" max="7" width="10.5546875" style="7" customWidth="1"/>
    <col min="8" max="22" width="10.21875" style="7" customWidth="1"/>
    <col min="23" max="23" width="8.88671875" style="9" hidden="1" customWidth="1"/>
    <col min="24" max="26" width="8.88671875" style="6" hidden="1" customWidth="1"/>
  </cols>
  <sheetData>
    <row r="1" spans="1:26" ht="19.05" customHeight="1" x14ac:dyDescent="0.3">
      <c r="A1" s="4" t="s">
        <v>0</v>
      </c>
      <c r="B1" s="4" t="s">
        <v>1</v>
      </c>
      <c r="C1" s="4" t="s">
        <v>44</v>
      </c>
      <c r="D1" s="5" t="s">
        <v>2</v>
      </c>
      <c r="E1" s="3" t="s">
        <v>91</v>
      </c>
      <c r="F1" s="3" t="s">
        <v>12</v>
      </c>
      <c r="G1" s="3" t="s">
        <v>77</v>
      </c>
      <c r="H1" s="3" t="s">
        <v>19</v>
      </c>
      <c r="I1" s="3" t="s">
        <v>61</v>
      </c>
      <c r="J1" s="3" t="s">
        <v>6</v>
      </c>
      <c r="K1" s="3" t="s">
        <v>52</v>
      </c>
      <c r="L1" s="3" t="s">
        <v>34</v>
      </c>
      <c r="M1" s="3" t="s">
        <v>53</v>
      </c>
      <c r="N1" s="3" t="s">
        <v>62</v>
      </c>
      <c r="O1" s="3" t="s">
        <v>35</v>
      </c>
      <c r="P1" s="3" t="s">
        <v>67</v>
      </c>
      <c r="Q1" s="3" t="s">
        <v>7</v>
      </c>
      <c r="R1" s="3" t="s">
        <v>54</v>
      </c>
      <c r="S1" s="3" t="s">
        <v>99</v>
      </c>
      <c r="T1" s="3" t="s">
        <v>55</v>
      </c>
      <c r="U1" s="3" t="s">
        <v>92</v>
      </c>
      <c r="V1" s="3" t="s">
        <v>36</v>
      </c>
      <c r="W1" s="5" t="s">
        <v>78</v>
      </c>
      <c r="X1" s="4" t="s">
        <v>45</v>
      </c>
      <c r="Y1" s="4" t="s">
        <v>13</v>
      </c>
      <c r="Z1" s="4" t="s">
        <v>84</v>
      </c>
    </row>
    <row r="2" spans="1:26" ht="19.05" customHeight="1" x14ac:dyDescent="0.3">
      <c r="A2" s="11" t="s">
        <v>32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spans="1:26" x14ac:dyDescent="0.3">
      <c r="A3" s="6" t="s">
        <v>32</v>
      </c>
      <c r="B3" s="8" t="s">
        <v>28</v>
      </c>
      <c r="C3" s="8" t="s">
        <v>37</v>
      </c>
      <c r="D3" s="10">
        <v>46035</v>
      </c>
      <c r="E3" s="7">
        <v>1</v>
      </c>
      <c r="F3" s="7">
        <v>1</v>
      </c>
      <c r="G3" s="7">
        <v>1</v>
      </c>
      <c r="H3" s="7">
        <v>1</v>
      </c>
      <c r="I3" s="7">
        <v>1</v>
      </c>
      <c r="J3" s="7">
        <v>1</v>
      </c>
      <c r="K3" s="7">
        <v>1</v>
      </c>
      <c r="L3" s="7">
        <v>1</v>
      </c>
      <c r="M3" s="7">
        <v>1</v>
      </c>
      <c r="N3" s="7">
        <v>1</v>
      </c>
      <c r="W3" s="9">
        <v>10</v>
      </c>
      <c r="X3" s="6" t="s">
        <v>46</v>
      </c>
      <c r="Y3" s="6" t="s">
        <v>85</v>
      </c>
      <c r="Z3" s="6" t="s">
        <v>27</v>
      </c>
    </row>
    <row r="4" spans="1:26" x14ac:dyDescent="0.3">
      <c r="A4" s="6" t="s">
        <v>32</v>
      </c>
      <c r="B4" s="8" t="s">
        <v>68</v>
      </c>
      <c r="C4" s="8" t="s">
        <v>79</v>
      </c>
      <c r="D4" s="10">
        <v>46035</v>
      </c>
      <c r="E4" s="7">
        <v>2</v>
      </c>
      <c r="F4" s="7">
        <v>2</v>
      </c>
      <c r="G4" s="7">
        <v>2</v>
      </c>
      <c r="H4" s="7">
        <v>2</v>
      </c>
      <c r="I4" s="7">
        <v>2</v>
      </c>
      <c r="J4" s="7">
        <v>2</v>
      </c>
      <c r="K4" s="7">
        <v>2</v>
      </c>
      <c r="L4" s="7">
        <v>2</v>
      </c>
      <c r="M4" s="7">
        <v>2</v>
      </c>
      <c r="N4" s="7">
        <v>2</v>
      </c>
      <c r="W4" s="9">
        <v>20</v>
      </c>
      <c r="X4" s="6" t="s">
        <v>46</v>
      </c>
      <c r="Y4" s="6" t="s">
        <v>85</v>
      </c>
      <c r="Z4" s="6" t="s">
        <v>27</v>
      </c>
    </row>
    <row r="5" spans="1:26" x14ac:dyDescent="0.3">
      <c r="A5" s="6" t="s">
        <v>32</v>
      </c>
      <c r="B5" s="8" t="s">
        <v>69</v>
      </c>
      <c r="C5" s="8" t="s">
        <v>20</v>
      </c>
      <c r="H5" s="7">
        <v>16</v>
      </c>
      <c r="J5" s="7">
        <v>24</v>
      </c>
      <c r="N5" s="7">
        <v>16</v>
      </c>
      <c r="W5" s="9">
        <v>56</v>
      </c>
      <c r="X5" s="6" t="s">
        <v>46</v>
      </c>
      <c r="Y5" s="6" t="s">
        <v>85</v>
      </c>
      <c r="Z5" s="6" t="s">
        <v>27</v>
      </c>
    </row>
    <row r="6" spans="1:26" ht="28.8" x14ac:dyDescent="0.3">
      <c r="A6" s="6" t="s">
        <v>32</v>
      </c>
      <c r="B6" s="8" t="s">
        <v>93</v>
      </c>
      <c r="C6" s="8" t="s">
        <v>70</v>
      </c>
      <c r="E6" s="7">
        <v>0</v>
      </c>
      <c r="W6" s="9">
        <v>0</v>
      </c>
      <c r="X6" s="6" t="s">
        <v>46</v>
      </c>
      <c r="Y6" s="6" t="s">
        <v>85</v>
      </c>
      <c r="Z6" s="6" t="s">
        <v>27</v>
      </c>
    </row>
    <row r="7" spans="1:26" x14ac:dyDescent="0.3">
      <c r="A7" s="6" t="s">
        <v>32</v>
      </c>
      <c r="B7" s="8" t="s">
        <v>39</v>
      </c>
      <c r="C7" s="8" t="s">
        <v>94</v>
      </c>
      <c r="D7" s="10">
        <v>46035</v>
      </c>
      <c r="F7" s="7">
        <v>40</v>
      </c>
      <c r="W7" s="9">
        <v>40</v>
      </c>
      <c r="X7" s="6" t="s">
        <v>46</v>
      </c>
      <c r="Y7" s="6" t="s">
        <v>85</v>
      </c>
      <c r="Z7" s="6" t="s">
        <v>27</v>
      </c>
    </row>
    <row r="8" spans="1:26" x14ac:dyDescent="0.3">
      <c r="A8" s="6" t="s">
        <v>32</v>
      </c>
      <c r="B8" s="8" t="s">
        <v>96</v>
      </c>
      <c r="C8" s="8" t="s">
        <v>49</v>
      </c>
      <c r="D8" s="10">
        <v>46034</v>
      </c>
      <c r="E8" s="7">
        <v>8</v>
      </c>
      <c r="F8" s="7">
        <v>8</v>
      </c>
      <c r="G8" s="7">
        <v>8</v>
      </c>
      <c r="H8" s="7">
        <v>8</v>
      </c>
      <c r="I8" s="7">
        <v>8</v>
      </c>
      <c r="J8" s="7">
        <v>8</v>
      </c>
      <c r="K8" s="7">
        <v>8</v>
      </c>
      <c r="L8" s="7">
        <v>8</v>
      </c>
      <c r="M8" s="7">
        <v>8</v>
      </c>
      <c r="N8" s="7">
        <v>8</v>
      </c>
      <c r="W8" s="9">
        <v>80</v>
      </c>
      <c r="X8" s="6" t="s">
        <v>46</v>
      </c>
      <c r="Y8" s="6" t="s">
        <v>85</v>
      </c>
      <c r="Z8" s="6" t="s">
        <v>27</v>
      </c>
    </row>
    <row r="9" spans="1:26" x14ac:dyDescent="0.3">
      <c r="A9" s="6" t="s">
        <v>32</v>
      </c>
      <c r="B9" s="8" t="s">
        <v>25</v>
      </c>
      <c r="C9" s="8" t="s">
        <v>97</v>
      </c>
      <c r="D9" s="10">
        <v>46034</v>
      </c>
      <c r="E9" s="7">
        <v>8</v>
      </c>
      <c r="F9" s="7">
        <v>8</v>
      </c>
      <c r="G9" s="7">
        <v>8</v>
      </c>
      <c r="H9" s="7">
        <v>8</v>
      </c>
      <c r="I9" s="7">
        <v>8</v>
      </c>
      <c r="J9" s="7">
        <v>8</v>
      </c>
      <c r="K9" s="7">
        <v>8</v>
      </c>
      <c r="L9" s="7">
        <v>8</v>
      </c>
      <c r="M9" s="7">
        <v>8</v>
      </c>
      <c r="N9" s="7">
        <v>8</v>
      </c>
      <c r="W9" s="9">
        <v>80</v>
      </c>
      <c r="X9" s="6" t="s">
        <v>46</v>
      </c>
      <c r="Y9" s="6" t="s">
        <v>85</v>
      </c>
      <c r="Z9" s="6" t="s">
        <v>27</v>
      </c>
    </row>
    <row r="10" spans="1:26" x14ac:dyDescent="0.3">
      <c r="A10" s="6" t="s">
        <v>32</v>
      </c>
      <c r="B10" s="8" t="s">
        <v>29</v>
      </c>
      <c r="C10" s="8" t="s">
        <v>63</v>
      </c>
      <c r="D10" s="10">
        <v>46035</v>
      </c>
      <c r="G10" s="7">
        <v>8</v>
      </c>
      <c r="I10" s="7">
        <v>8</v>
      </c>
      <c r="K10" s="7">
        <v>8</v>
      </c>
      <c r="M10" s="7">
        <v>16</v>
      </c>
      <c r="N10" s="7">
        <v>16</v>
      </c>
      <c r="O10" s="7">
        <v>16</v>
      </c>
      <c r="W10" s="9">
        <v>72</v>
      </c>
      <c r="X10" s="6" t="s">
        <v>46</v>
      </c>
      <c r="Y10" s="6" t="s">
        <v>85</v>
      </c>
      <c r="Z10" s="6" t="s">
        <v>27</v>
      </c>
    </row>
    <row r="11" spans="1:26" ht="28.8" x14ac:dyDescent="0.3">
      <c r="A11" s="6" t="s">
        <v>32</v>
      </c>
      <c r="B11" s="8" t="s">
        <v>65</v>
      </c>
      <c r="C11" s="8" t="s">
        <v>75</v>
      </c>
      <c r="D11" s="10">
        <v>46084</v>
      </c>
      <c r="E11" s="7">
        <v>4</v>
      </c>
      <c r="F11" s="7">
        <v>6.5</v>
      </c>
      <c r="G11" s="7">
        <v>6</v>
      </c>
      <c r="H11" s="7">
        <v>4</v>
      </c>
      <c r="I11" s="7">
        <v>4</v>
      </c>
      <c r="J11" s="7">
        <v>4</v>
      </c>
      <c r="K11" s="7">
        <v>4</v>
      </c>
      <c r="L11" s="7">
        <v>4</v>
      </c>
      <c r="M11" s="7">
        <v>4</v>
      </c>
      <c r="N11" s="7">
        <v>4</v>
      </c>
      <c r="W11" s="9">
        <v>44.5</v>
      </c>
      <c r="X11" s="6" t="s">
        <v>46</v>
      </c>
      <c r="Y11" s="6" t="s">
        <v>85</v>
      </c>
      <c r="Z11" s="6" t="s">
        <v>27</v>
      </c>
    </row>
    <row r="12" spans="1:26" ht="28.8" x14ac:dyDescent="0.3">
      <c r="A12" s="6" t="s">
        <v>32</v>
      </c>
      <c r="B12" s="8" t="s">
        <v>65</v>
      </c>
      <c r="C12" s="8" t="s">
        <v>43</v>
      </c>
      <c r="D12" s="10">
        <v>46084</v>
      </c>
      <c r="E12" s="7">
        <v>15</v>
      </c>
      <c r="F12" s="7">
        <v>13</v>
      </c>
      <c r="G12" s="7">
        <v>5</v>
      </c>
      <c r="H12" s="7">
        <v>8</v>
      </c>
      <c r="J12" s="7">
        <v>2</v>
      </c>
      <c r="K12" s="7">
        <v>4</v>
      </c>
      <c r="L12" s="7">
        <v>2</v>
      </c>
      <c r="W12" s="9">
        <v>49</v>
      </c>
      <c r="X12" s="6" t="s">
        <v>46</v>
      </c>
      <c r="Y12" s="6" t="s">
        <v>85</v>
      </c>
      <c r="Z12" s="6" t="s">
        <v>27</v>
      </c>
    </row>
    <row r="13" spans="1:26" ht="28.8" x14ac:dyDescent="0.3">
      <c r="A13" s="6" t="s">
        <v>32</v>
      </c>
      <c r="B13" s="8" t="s">
        <v>65</v>
      </c>
      <c r="C13" s="8" t="s">
        <v>5</v>
      </c>
      <c r="D13" s="10">
        <v>46084</v>
      </c>
      <c r="E13" s="7">
        <v>5</v>
      </c>
      <c r="F13" s="7">
        <v>3.5</v>
      </c>
      <c r="G13" s="7">
        <v>7</v>
      </c>
      <c r="H13" s="7">
        <v>3.5</v>
      </c>
      <c r="I13" s="7">
        <v>2</v>
      </c>
      <c r="J13" s="7">
        <v>0.5</v>
      </c>
      <c r="K13" s="7">
        <v>3</v>
      </c>
      <c r="L13" s="7">
        <v>3</v>
      </c>
      <c r="M13" s="7">
        <v>2</v>
      </c>
      <c r="N13" s="7">
        <v>2</v>
      </c>
      <c r="W13" s="9">
        <v>31.5</v>
      </c>
      <c r="X13" s="6" t="s">
        <v>46</v>
      </c>
      <c r="Y13" s="6" t="s">
        <v>85</v>
      </c>
      <c r="Z13" s="6" t="s">
        <v>27</v>
      </c>
    </row>
    <row r="14" spans="1:26" ht="28.8" x14ac:dyDescent="0.3">
      <c r="A14" s="6" t="s">
        <v>32</v>
      </c>
      <c r="B14" s="8" t="s">
        <v>65</v>
      </c>
      <c r="C14" s="8" t="s">
        <v>16</v>
      </c>
      <c r="D14" s="10">
        <v>46084</v>
      </c>
      <c r="E14" s="7">
        <v>18</v>
      </c>
      <c r="F14" s="7">
        <v>6</v>
      </c>
      <c r="H14" s="7">
        <v>5</v>
      </c>
      <c r="L14" s="7">
        <v>5</v>
      </c>
      <c r="M14" s="7">
        <v>5</v>
      </c>
      <c r="W14" s="9">
        <v>39</v>
      </c>
      <c r="X14" s="6" t="s">
        <v>46</v>
      </c>
      <c r="Y14" s="6" t="s">
        <v>85</v>
      </c>
      <c r="Z14" s="6" t="s">
        <v>27</v>
      </c>
    </row>
    <row r="15" spans="1:26" ht="28.8" x14ac:dyDescent="0.3">
      <c r="A15" s="6" t="s">
        <v>32</v>
      </c>
      <c r="B15" s="8" t="s">
        <v>65</v>
      </c>
      <c r="C15" s="8" t="s">
        <v>23</v>
      </c>
      <c r="D15" s="10">
        <v>46084</v>
      </c>
      <c r="E15" s="7">
        <v>28</v>
      </c>
      <c r="F15" s="7">
        <v>13</v>
      </c>
      <c r="G15" s="7">
        <v>11</v>
      </c>
      <c r="H15" s="7">
        <v>8</v>
      </c>
      <c r="I15" s="7">
        <v>8</v>
      </c>
      <c r="J15" s="7">
        <v>10</v>
      </c>
      <c r="K15" s="7">
        <v>6</v>
      </c>
      <c r="L15" s="7">
        <v>14</v>
      </c>
      <c r="M15" s="7">
        <v>10</v>
      </c>
      <c r="N15" s="7">
        <v>8</v>
      </c>
      <c r="W15" s="9">
        <v>116</v>
      </c>
      <c r="X15" s="6" t="s">
        <v>46</v>
      </c>
      <c r="Y15" s="6" t="s">
        <v>85</v>
      </c>
      <c r="Z15" s="6" t="s">
        <v>27</v>
      </c>
    </row>
    <row r="16" spans="1:26" ht="28.8" x14ac:dyDescent="0.3">
      <c r="A16" s="6" t="s">
        <v>32</v>
      </c>
      <c r="B16" s="8" t="s">
        <v>65</v>
      </c>
      <c r="C16" s="8" t="s">
        <v>17</v>
      </c>
      <c r="D16" s="10">
        <v>46084</v>
      </c>
      <c r="E16" s="7">
        <v>5</v>
      </c>
      <c r="F16" s="7">
        <v>2</v>
      </c>
      <c r="L16" s="7">
        <v>3</v>
      </c>
      <c r="M16" s="7">
        <v>2</v>
      </c>
      <c r="W16" s="9">
        <v>12</v>
      </c>
      <c r="X16" s="6" t="s">
        <v>46</v>
      </c>
      <c r="Y16" s="6" t="s">
        <v>85</v>
      </c>
      <c r="Z16" s="6" t="s">
        <v>27</v>
      </c>
    </row>
    <row r="17" spans="1:26" ht="28.8" x14ac:dyDescent="0.3">
      <c r="A17" s="6" t="s">
        <v>32</v>
      </c>
      <c r="B17" s="8" t="s">
        <v>65</v>
      </c>
      <c r="C17" s="8" t="s">
        <v>101</v>
      </c>
      <c r="D17" s="10">
        <v>46084</v>
      </c>
      <c r="E17" s="7">
        <v>4</v>
      </c>
      <c r="F17" s="7">
        <v>3</v>
      </c>
      <c r="G17" s="7">
        <v>2</v>
      </c>
      <c r="H17" s="7">
        <v>3</v>
      </c>
      <c r="I17" s="7">
        <v>2</v>
      </c>
      <c r="J17" s="7">
        <v>2</v>
      </c>
      <c r="K17" s="7">
        <v>2</v>
      </c>
      <c r="L17" s="7">
        <v>2</v>
      </c>
      <c r="M17" s="7">
        <v>2</v>
      </c>
      <c r="N17" s="7">
        <v>2</v>
      </c>
      <c r="W17" s="9">
        <v>24</v>
      </c>
      <c r="X17" s="6" t="s">
        <v>46</v>
      </c>
      <c r="Y17" s="6" t="s">
        <v>85</v>
      </c>
      <c r="Z17" s="6" t="s">
        <v>27</v>
      </c>
    </row>
    <row r="18" spans="1:26" ht="28.8" x14ac:dyDescent="0.3">
      <c r="A18" s="6" t="s">
        <v>32</v>
      </c>
      <c r="B18" s="8" t="s">
        <v>65</v>
      </c>
      <c r="C18" s="8" t="s">
        <v>82</v>
      </c>
      <c r="D18" s="10">
        <v>46084</v>
      </c>
      <c r="E18" s="7">
        <v>2</v>
      </c>
      <c r="F18" s="7">
        <v>2</v>
      </c>
      <c r="G18" s="7">
        <v>2</v>
      </c>
      <c r="H18" s="7">
        <v>2</v>
      </c>
      <c r="I18" s="7">
        <v>5</v>
      </c>
      <c r="J18" s="7">
        <v>2</v>
      </c>
      <c r="K18" s="7">
        <v>2</v>
      </c>
      <c r="L18" s="7">
        <v>5</v>
      </c>
      <c r="M18" s="7">
        <v>2</v>
      </c>
      <c r="N18" s="7">
        <v>5</v>
      </c>
      <c r="W18" s="9">
        <v>29</v>
      </c>
      <c r="X18" s="6" t="s">
        <v>46</v>
      </c>
      <c r="Y18" s="6" t="s">
        <v>85</v>
      </c>
      <c r="Z18" s="6" t="s">
        <v>27</v>
      </c>
    </row>
    <row r="19" spans="1:26" ht="28.8" x14ac:dyDescent="0.3">
      <c r="A19" s="6" t="s">
        <v>32</v>
      </c>
      <c r="B19" s="8" t="s">
        <v>65</v>
      </c>
      <c r="C19" s="8" t="s">
        <v>24</v>
      </c>
      <c r="D19" s="10">
        <v>46084</v>
      </c>
      <c r="E19" s="7">
        <v>21</v>
      </c>
      <c r="F19" s="7">
        <v>17</v>
      </c>
      <c r="G19" s="7">
        <v>8</v>
      </c>
      <c r="H19" s="7">
        <v>1</v>
      </c>
      <c r="I19" s="7">
        <v>1</v>
      </c>
      <c r="J19" s="7">
        <v>1</v>
      </c>
      <c r="K19" s="7">
        <v>1</v>
      </c>
      <c r="L19" s="7">
        <v>1</v>
      </c>
      <c r="M19" s="7">
        <v>1</v>
      </c>
      <c r="N19" s="7">
        <v>1</v>
      </c>
      <c r="W19" s="9">
        <v>53</v>
      </c>
      <c r="X19" s="6" t="s">
        <v>46</v>
      </c>
      <c r="Y19" s="6" t="s">
        <v>85</v>
      </c>
      <c r="Z19" s="6" t="s">
        <v>27</v>
      </c>
    </row>
    <row r="20" spans="1:26" ht="28.8" x14ac:dyDescent="0.3">
      <c r="A20" s="6" t="s">
        <v>32</v>
      </c>
      <c r="B20" s="8" t="s">
        <v>4</v>
      </c>
      <c r="C20" s="8" t="s">
        <v>9</v>
      </c>
      <c r="D20" s="10">
        <v>46035</v>
      </c>
      <c r="E20" s="7">
        <v>1.5</v>
      </c>
      <c r="F20" s="7">
        <v>1.5</v>
      </c>
      <c r="G20" s="7">
        <v>1.5</v>
      </c>
      <c r="H20" s="7">
        <v>1.5</v>
      </c>
      <c r="I20" s="7">
        <v>1.5</v>
      </c>
      <c r="J20" s="7">
        <v>1.5</v>
      </c>
      <c r="K20" s="7">
        <v>1.5</v>
      </c>
      <c r="W20" s="9">
        <v>10.5</v>
      </c>
      <c r="X20" s="6" t="s">
        <v>46</v>
      </c>
      <c r="Y20" s="6" t="s">
        <v>85</v>
      </c>
      <c r="Z20" s="6" t="s">
        <v>27</v>
      </c>
    </row>
    <row r="21" spans="1:26" ht="43.2" x14ac:dyDescent="0.3">
      <c r="A21" s="6" t="s">
        <v>32</v>
      </c>
      <c r="B21" s="8" t="s">
        <v>88</v>
      </c>
      <c r="C21" s="8" t="s">
        <v>80</v>
      </c>
      <c r="D21" s="10">
        <v>46072</v>
      </c>
      <c r="E21" s="7">
        <v>3</v>
      </c>
      <c r="F21" s="7">
        <v>3</v>
      </c>
      <c r="G21" s="7">
        <v>3</v>
      </c>
      <c r="H21" s="7">
        <v>3</v>
      </c>
      <c r="I21" s="7">
        <v>3</v>
      </c>
      <c r="J21" s="7">
        <v>3</v>
      </c>
      <c r="K21" s="7">
        <v>3</v>
      </c>
      <c r="L21" s="7">
        <v>3</v>
      </c>
      <c r="M21" s="7">
        <v>3</v>
      </c>
      <c r="N21" s="7">
        <v>3</v>
      </c>
      <c r="O21" s="7">
        <v>3</v>
      </c>
      <c r="P21" s="7">
        <v>3</v>
      </c>
      <c r="Q21" s="7">
        <v>3</v>
      </c>
      <c r="R21" s="7">
        <v>3</v>
      </c>
      <c r="S21" s="7">
        <v>3</v>
      </c>
      <c r="T21" s="7">
        <v>3</v>
      </c>
      <c r="U21" s="7">
        <v>3</v>
      </c>
      <c r="V21" s="7">
        <v>4</v>
      </c>
      <c r="W21" s="9">
        <v>65</v>
      </c>
      <c r="X21" s="6" t="s">
        <v>46</v>
      </c>
      <c r="Y21" s="6" t="s">
        <v>85</v>
      </c>
      <c r="Z21" s="6" t="s">
        <v>27</v>
      </c>
    </row>
    <row r="22" spans="1:26" x14ac:dyDescent="0.3">
      <c r="A22" s="6" t="s">
        <v>32</v>
      </c>
      <c r="B22" s="8" t="s">
        <v>88</v>
      </c>
      <c r="C22" s="8" t="s">
        <v>95</v>
      </c>
      <c r="D22" s="10">
        <v>46072</v>
      </c>
      <c r="E22" s="7">
        <v>2</v>
      </c>
      <c r="F22" s="7">
        <v>9</v>
      </c>
      <c r="G22" s="7">
        <v>9</v>
      </c>
      <c r="H22" s="7">
        <v>1</v>
      </c>
      <c r="I22" s="7">
        <v>6</v>
      </c>
      <c r="J22" s="7">
        <v>6</v>
      </c>
      <c r="K22" s="7">
        <v>6</v>
      </c>
      <c r="L22" s="7">
        <v>6</v>
      </c>
      <c r="M22" s="7">
        <v>6</v>
      </c>
      <c r="N22" s="7">
        <v>6</v>
      </c>
      <c r="O22" s="7">
        <v>10</v>
      </c>
      <c r="P22" s="7">
        <v>2</v>
      </c>
      <c r="Q22" s="7">
        <v>4</v>
      </c>
      <c r="R22" s="7">
        <v>38</v>
      </c>
      <c r="S22" s="7">
        <v>2</v>
      </c>
      <c r="T22" s="7">
        <v>2</v>
      </c>
      <c r="U22" s="7">
        <v>2</v>
      </c>
      <c r="V22" s="7">
        <v>2</v>
      </c>
      <c r="W22" s="9">
        <v>119</v>
      </c>
      <c r="X22" s="6" t="s">
        <v>46</v>
      </c>
      <c r="Y22" s="6" t="s">
        <v>85</v>
      </c>
      <c r="Z22" s="6" t="s">
        <v>27</v>
      </c>
    </row>
    <row r="23" spans="1:26" ht="28.8" x14ac:dyDescent="0.3">
      <c r="A23" s="6" t="s">
        <v>32</v>
      </c>
      <c r="B23" s="8" t="s">
        <v>88</v>
      </c>
      <c r="C23" s="8" t="s">
        <v>74</v>
      </c>
      <c r="D23" s="10">
        <v>46072</v>
      </c>
      <c r="E23" s="7">
        <v>30</v>
      </c>
      <c r="F23" s="7">
        <v>2</v>
      </c>
      <c r="G23" s="7">
        <v>44</v>
      </c>
      <c r="H23" s="7">
        <v>28</v>
      </c>
      <c r="I23" s="7">
        <v>9</v>
      </c>
      <c r="J23" s="7">
        <v>40</v>
      </c>
      <c r="K23" s="7">
        <v>20</v>
      </c>
      <c r="L23" s="7">
        <v>5</v>
      </c>
      <c r="M23" s="7">
        <v>4</v>
      </c>
      <c r="N23" s="7">
        <v>4</v>
      </c>
      <c r="O23" s="7">
        <v>1</v>
      </c>
      <c r="R23" s="7">
        <v>3</v>
      </c>
      <c r="S23" s="7">
        <v>2</v>
      </c>
      <c r="U23" s="7">
        <v>1</v>
      </c>
      <c r="V23" s="7">
        <v>2</v>
      </c>
      <c r="W23" s="9">
        <v>195</v>
      </c>
      <c r="X23" s="6" t="s">
        <v>46</v>
      </c>
      <c r="Y23" s="6" t="s">
        <v>85</v>
      </c>
      <c r="Z23" s="6" t="s">
        <v>27</v>
      </c>
    </row>
    <row r="24" spans="1:26" x14ac:dyDescent="0.3">
      <c r="A24" s="6" t="s">
        <v>32</v>
      </c>
      <c r="B24" s="8" t="s">
        <v>88</v>
      </c>
      <c r="C24" s="8" t="s">
        <v>81</v>
      </c>
      <c r="D24" s="10">
        <v>46072</v>
      </c>
      <c r="E24" s="7">
        <v>4</v>
      </c>
      <c r="F24" s="7">
        <v>32</v>
      </c>
      <c r="G24" s="7">
        <v>4</v>
      </c>
      <c r="H24" s="7">
        <v>36</v>
      </c>
      <c r="I24" s="7">
        <v>6</v>
      </c>
      <c r="J24" s="7">
        <v>6</v>
      </c>
      <c r="K24" s="7">
        <v>6</v>
      </c>
      <c r="L24" s="7">
        <v>6</v>
      </c>
      <c r="M24" s="7">
        <v>6</v>
      </c>
      <c r="N24" s="7">
        <v>6</v>
      </c>
      <c r="O24" s="7">
        <v>6</v>
      </c>
      <c r="P24" s="7">
        <v>6</v>
      </c>
      <c r="Q24" s="7">
        <v>6</v>
      </c>
      <c r="R24" s="7">
        <v>6</v>
      </c>
      <c r="S24" s="7">
        <v>6</v>
      </c>
      <c r="T24" s="7">
        <v>2</v>
      </c>
      <c r="U24" s="7">
        <v>2</v>
      </c>
      <c r="V24" s="7">
        <v>2</v>
      </c>
      <c r="W24" s="9">
        <v>148</v>
      </c>
      <c r="X24" s="6" t="s">
        <v>46</v>
      </c>
      <c r="Y24" s="6" t="s">
        <v>85</v>
      </c>
      <c r="Z24" s="6" t="s">
        <v>27</v>
      </c>
    </row>
    <row r="25" spans="1:26" x14ac:dyDescent="0.3">
      <c r="A25" s="6" t="s">
        <v>32</v>
      </c>
      <c r="B25" s="8" t="s">
        <v>50</v>
      </c>
      <c r="C25" s="8" t="s">
        <v>56</v>
      </c>
      <c r="D25" s="10">
        <v>46031</v>
      </c>
      <c r="F25" s="7">
        <v>10</v>
      </c>
      <c r="G25" s="7">
        <v>10</v>
      </c>
      <c r="H25" s="7">
        <v>10</v>
      </c>
      <c r="I25" s="7">
        <v>10</v>
      </c>
      <c r="W25" s="9">
        <v>40</v>
      </c>
      <c r="X25" s="6" t="s">
        <v>46</v>
      </c>
      <c r="Y25" s="6" t="s">
        <v>85</v>
      </c>
      <c r="Z25" s="6" t="s">
        <v>27</v>
      </c>
    </row>
    <row r="26" spans="1:26" x14ac:dyDescent="0.3">
      <c r="A26" s="6" t="s">
        <v>32</v>
      </c>
      <c r="B26" s="8" t="s">
        <v>50</v>
      </c>
      <c r="C26" s="8" t="s">
        <v>103</v>
      </c>
      <c r="D26" s="10">
        <v>46031</v>
      </c>
      <c r="E26" s="7">
        <v>8</v>
      </c>
      <c r="W26" s="9">
        <v>8</v>
      </c>
      <c r="X26" s="6" t="s">
        <v>46</v>
      </c>
      <c r="Y26" s="6" t="s">
        <v>85</v>
      </c>
      <c r="Z26" s="6" t="s">
        <v>27</v>
      </c>
    </row>
    <row r="27" spans="1:26" x14ac:dyDescent="0.3">
      <c r="A27" s="6" t="s">
        <v>32</v>
      </c>
      <c r="B27" s="8" t="s">
        <v>50</v>
      </c>
      <c r="C27" s="8" t="s">
        <v>87</v>
      </c>
      <c r="D27" s="10">
        <v>46031</v>
      </c>
      <c r="G27" s="7">
        <v>1</v>
      </c>
      <c r="W27" s="9">
        <v>1</v>
      </c>
      <c r="X27" s="6" t="s">
        <v>46</v>
      </c>
      <c r="Y27" s="6" t="s">
        <v>85</v>
      </c>
      <c r="Z27" s="6" t="s">
        <v>27</v>
      </c>
    </row>
    <row r="28" spans="1:26" ht="28.8" x14ac:dyDescent="0.3">
      <c r="A28" s="6" t="s">
        <v>32</v>
      </c>
      <c r="B28" s="8" t="s">
        <v>50</v>
      </c>
      <c r="C28" s="8" t="s">
        <v>66</v>
      </c>
      <c r="D28" s="10">
        <v>46031</v>
      </c>
      <c r="E28" s="7">
        <v>40</v>
      </c>
      <c r="W28" s="9">
        <v>40</v>
      </c>
      <c r="X28" s="6" t="s">
        <v>46</v>
      </c>
      <c r="Y28" s="6" t="s">
        <v>85</v>
      </c>
      <c r="Z28" s="6" t="s">
        <v>27</v>
      </c>
    </row>
    <row r="29" spans="1:26" x14ac:dyDescent="0.3">
      <c r="A29" s="6" t="s">
        <v>32</v>
      </c>
      <c r="B29" s="8" t="s">
        <v>50</v>
      </c>
      <c r="C29" s="8" t="s">
        <v>10</v>
      </c>
      <c r="D29" s="10">
        <v>46031</v>
      </c>
      <c r="F29" s="7">
        <v>8</v>
      </c>
      <c r="W29" s="9">
        <v>8</v>
      </c>
      <c r="X29" s="6" t="s">
        <v>46</v>
      </c>
      <c r="Y29" s="6" t="s">
        <v>85</v>
      </c>
      <c r="Z29" s="6" t="s">
        <v>27</v>
      </c>
    </row>
    <row r="30" spans="1:26" x14ac:dyDescent="0.3">
      <c r="A30" s="6" t="s">
        <v>32</v>
      </c>
      <c r="B30" s="8" t="s">
        <v>71</v>
      </c>
      <c r="C30" s="8" t="s">
        <v>89</v>
      </c>
      <c r="D30" s="10">
        <v>46090</v>
      </c>
      <c r="F30" s="7">
        <v>1</v>
      </c>
      <c r="H30" s="7">
        <v>1</v>
      </c>
      <c r="I30" s="7">
        <v>1</v>
      </c>
      <c r="J30" s="7">
        <v>1</v>
      </c>
      <c r="W30" s="9">
        <v>4</v>
      </c>
      <c r="X30" s="6" t="s">
        <v>46</v>
      </c>
      <c r="Y30" s="6" t="s">
        <v>85</v>
      </c>
      <c r="Z30" s="6" t="s">
        <v>27</v>
      </c>
    </row>
    <row r="31" spans="1:26" ht="28.8" x14ac:dyDescent="0.3">
      <c r="A31" s="6" t="s">
        <v>32</v>
      </c>
      <c r="B31" s="8" t="s">
        <v>71</v>
      </c>
      <c r="C31" s="8" t="s">
        <v>8</v>
      </c>
      <c r="D31" s="10">
        <v>46090</v>
      </c>
      <c r="G31" s="7">
        <v>5</v>
      </c>
      <c r="H31" s="7">
        <v>5</v>
      </c>
      <c r="I31" s="7">
        <v>5</v>
      </c>
      <c r="J31" s="7">
        <v>5</v>
      </c>
      <c r="W31" s="9">
        <v>20</v>
      </c>
      <c r="X31" s="6" t="s">
        <v>46</v>
      </c>
      <c r="Y31" s="6" t="s">
        <v>85</v>
      </c>
      <c r="Z31" s="6" t="s">
        <v>27</v>
      </c>
    </row>
    <row r="32" spans="1:26" ht="43.2" x14ac:dyDescent="0.3">
      <c r="A32" s="6" t="s">
        <v>32</v>
      </c>
      <c r="B32" s="8" t="s">
        <v>71</v>
      </c>
      <c r="C32" s="8" t="s">
        <v>42</v>
      </c>
      <c r="D32" s="10">
        <v>46090</v>
      </c>
      <c r="F32" s="7">
        <v>6</v>
      </c>
      <c r="J32" s="7">
        <v>6</v>
      </c>
      <c r="N32" s="7">
        <v>6</v>
      </c>
      <c r="R32" s="7">
        <v>6</v>
      </c>
      <c r="W32" s="9">
        <v>24</v>
      </c>
      <c r="X32" s="6" t="s">
        <v>46</v>
      </c>
      <c r="Y32" s="6" t="s">
        <v>85</v>
      </c>
      <c r="Z32" s="6" t="s">
        <v>27</v>
      </c>
    </row>
    <row r="33" spans="1:26" ht="28.8" x14ac:dyDescent="0.3">
      <c r="A33" s="6" t="s">
        <v>32</v>
      </c>
      <c r="B33" s="8" t="s">
        <v>38</v>
      </c>
      <c r="C33" s="8" t="s">
        <v>76</v>
      </c>
      <c r="D33" s="10">
        <v>46086</v>
      </c>
      <c r="E33" s="7">
        <v>8</v>
      </c>
      <c r="F33" s="7">
        <v>8</v>
      </c>
      <c r="G33" s="7">
        <v>8</v>
      </c>
      <c r="H33" s="7">
        <v>8</v>
      </c>
      <c r="I33" s="7">
        <v>8</v>
      </c>
      <c r="J33" s="7">
        <v>8</v>
      </c>
      <c r="K33" s="7">
        <v>8</v>
      </c>
      <c r="L33" s="7">
        <v>8</v>
      </c>
      <c r="M33" s="7">
        <v>8</v>
      </c>
      <c r="N33" s="7">
        <v>8</v>
      </c>
      <c r="W33" s="9">
        <v>80</v>
      </c>
      <c r="X33" s="6" t="s">
        <v>46</v>
      </c>
      <c r="Y33" s="6" t="s">
        <v>85</v>
      </c>
      <c r="Z33" s="6" t="s">
        <v>27</v>
      </c>
    </row>
    <row r="34" spans="1:26" ht="28.8" x14ac:dyDescent="0.3">
      <c r="A34" s="6" t="s">
        <v>32</v>
      </c>
      <c r="B34" s="8" t="s">
        <v>38</v>
      </c>
      <c r="C34" s="8" t="s">
        <v>58</v>
      </c>
      <c r="D34" s="10">
        <v>46086</v>
      </c>
      <c r="G34" s="7">
        <v>2</v>
      </c>
      <c r="H34" s="7">
        <v>2</v>
      </c>
      <c r="I34" s="7">
        <v>2</v>
      </c>
      <c r="J34" s="7">
        <v>2</v>
      </c>
      <c r="K34" s="7">
        <v>2</v>
      </c>
      <c r="L34" s="7">
        <v>2</v>
      </c>
      <c r="M34" s="7">
        <v>2</v>
      </c>
      <c r="N34" s="7">
        <v>2</v>
      </c>
      <c r="W34" s="9">
        <v>16</v>
      </c>
      <c r="X34" s="6" t="s">
        <v>46</v>
      </c>
      <c r="Y34" s="6" t="s">
        <v>85</v>
      </c>
      <c r="Z34" s="6" t="s">
        <v>27</v>
      </c>
    </row>
    <row r="35" spans="1:26" ht="28.8" x14ac:dyDescent="0.3">
      <c r="A35" s="6" t="s">
        <v>32</v>
      </c>
      <c r="B35" s="8" t="s">
        <v>30</v>
      </c>
      <c r="C35" s="8" t="s">
        <v>3</v>
      </c>
      <c r="F35" s="7">
        <v>1</v>
      </c>
      <c r="I35" s="7">
        <v>1</v>
      </c>
      <c r="L35" s="7">
        <v>1</v>
      </c>
      <c r="W35" s="9">
        <v>3</v>
      </c>
      <c r="X35" s="6" t="s">
        <v>46</v>
      </c>
      <c r="Y35" s="6" t="s">
        <v>40</v>
      </c>
      <c r="Z35" s="6" t="s">
        <v>41</v>
      </c>
    </row>
    <row r="36" spans="1:26" ht="28.8" x14ac:dyDescent="0.3">
      <c r="A36" s="6" t="s">
        <v>32</v>
      </c>
      <c r="B36" s="8" t="s">
        <v>30</v>
      </c>
      <c r="C36" s="8" t="s">
        <v>33</v>
      </c>
      <c r="I36" s="7">
        <v>5</v>
      </c>
      <c r="J36" s="7">
        <v>5</v>
      </c>
      <c r="W36" s="9">
        <v>10</v>
      </c>
      <c r="X36" s="6" t="s">
        <v>46</v>
      </c>
      <c r="Y36" s="6" t="s">
        <v>40</v>
      </c>
      <c r="Z36" s="6" t="s">
        <v>41</v>
      </c>
    </row>
    <row r="37" spans="1:26" x14ac:dyDescent="0.3">
      <c r="A37" s="6" t="s">
        <v>32</v>
      </c>
      <c r="B37" s="8" t="s">
        <v>30</v>
      </c>
      <c r="C37" s="8" t="s">
        <v>57</v>
      </c>
      <c r="H37" s="7">
        <v>8</v>
      </c>
      <c r="I37" s="7">
        <v>8</v>
      </c>
      <c r="W37" s="9">
        <v>16</v>
      </c>
      <c r="X37" s="6" t="s">
        <v>46</v>
      </c>
      <c r="Y37" s="6" t="s">
        <v>40</v>
      </c>
      <c r="Z37" s="6" t="s">
        <v>41</v>
      </c>
    </row>
    <row r="38" spans="1:26" x14ac:dyDescent="0.3">
      <c r="A38" s="6" t="s">
        <v>32</v>
      </c>
      <c r="B38" s="8" t="s">
        <v>72</v>
      </c>
      <c r="C38" s="8" t="s">
        <v>90</v>
      </c>
      <c r="D38" s="10">
        <v>46022</v>
      </c>
      <c r="E38" s="7">
        <v>1</v>
      </c>
      <c r="W38" s="9">
        <v>1</v>
      </c>
      <c r="X38" s="6" t="s">
        <v>46</v>
      </c>
      <c r="Y38" s="6" t="s">
        <v>85</v>
      </c>
      <c r="Z38" s="6" t="s">
        <v>27</v>
      </c>
    </row>
    <row r="39" spans="1:26" x14ac:dyDescent="0.3">
      <c r="A39" s="6" t="s">
        <v>32</v>
      </c>
      <c r="B39" s="8" t="s">
        <v>72</v>
      </c>
      <c r="C39" s="8" t="s">
        <v>26</v>
      </c>
      <c r="D39" s="10">
        <v>46022</v>
      </c>
      <c r="E39" s="7">
        <v>24</v>
      </c>
      <c r="F39" s="7">
        <v>24</v>
      </c>
      <c r="G39" s="7">
        <v>24</v>
      </c>
      <c r="W39" s="9">
        <v>72</v>
      </c>
      <c r="X39" s="6" t="s">
        <v>46</v>
      </c>
      <c r="Y39" s="6" t="s">
        <v>85</v>
      </c>
      <c r="Z39" s="6" t="s">
        <v>27</v>
      </c>
    </row>
    <row r="40" spans="1:26" x14ac:dyDescent="0.3">
      <c r="A40" s="6" t="s">
        <v>32</v>
      </c>
      <c r="B40" s="8" t="s">
        <v>72</v>
      </c>
      <c r="C40" s="8" t="s">
        <v>18</v>
      </c>
      <c r="D40" s="10">
        <v>46022</v>
      </c>
      <c r="H40" s="7">
        <v>8</v>
      </c>
      <c r="I40" s="7">
        <v>8</v>
      </c>
      <c r="J40" s="7">
        <v>8</v>
      </c>
      <c r="W40" s="9">
        <v>24</v>
      </c>
      <c r="X40" s="6" t="s">
        <v>46</v>
      </c>
      <c r="Y40" s="6" t="s">
        <v>85</v>
      </c>
      <c r="Z40" s="6" t="s">
        <v>27</v>
      </c>
    </row>
    <row r="41" spans="1:26" ht="28.8" x14ac:dyDescent="0.3">
      <c r="A41" s="6" t="s">
        <v>32</v>
      </c>
      <c r="B41" s="8" t="s">
        <v>14</v>
      </c>
      <c r="C41" s="8" t="s">
        <v>51</v>
      </c>
      <c r="D41" s="10">
        <v>45964</v>
      </c>
      <c r="G41" s="7">
        <v>16</v>
      </c>
      <c r="W41" s="9">
        <v>16</v>
      </c>
      <c r="X41" s="6" t="s">
        <v>46</v>
      </c>
      <c r="Y41" s="6" t="s">
        <v>85</v>
      </c>
      <c r="Z41" s="6" t="s">
        <v>27</v>
      </c>
    </row>
    <row r="42" spans="1:26" x14ac:dyDescent="0.3">
      <c r="A42" s="6" t="s">
        <v>32</v>
      </c>
      <c r="B42" s="8" t="s">
        <v>59</v>
      </c>
      <c r="C42" s="8" t="s">
        <v>98</v>
      </c>
      <c r="D42" s="10">
        <v>46101</v>
      </c>
      <c r="I42" s="7">
        <v>2</v>
      </c>
      <c r="J42" s="7">
        <v>2</v>
      </c>
      <c r="K42" s="7">
        <v>2</v>
      </c>
      <c r="L42" s="7">
        <v>2</v>
      </c>
      <c r="M42" s="7">
        <v>2</v>
      </c>
      <c r="N42" s="7">
        <v>2</v>
      </c>
      <c r="O42" s="7">
        <v>2</v>
      </c>
      <c r="P42" s="7">
        <v>2</v>
      </c>
      <c r="Q42" s="7">
        <v>2</v>
      </c>
      <c r="R42" s="7">
        <v>2</v>
      </c>
      <c r="W42" s="9">
        <v>20</v>
      </c>
      <c r="X42" s="6" t="s">
        <v>46</v>
      </c>
      <c r="Y42" s="6" t="s">
        <v>85</v>
      </c>
      <c r="Z42" s="6" t="s">
        <v>27</v>
      </c>
    </row>
    <row r="43" spans="1:26" ht="28.8" x14ac:dyDescent="0.3">
      <c r="A43" s="6" t="s">
        <v>32</v>
      </c>
      <c r="B43" s="8" t="s">
        <v>47</v>
      </c>
      <c r="C43" s="8" t="s">
        <v>15</v>
      </c>
      <c r="R43" s="7">
        <v>20</v>
      </c>
      <c r="S43" s="7">
        <v>20</v>
      </c>
      <c r="W43" s="9">
        <v>40</v>
      </c>
      <c r="X43" s="6" t="s">
        <v>46</v>
      </c>
      <c r="Y43" s="6" t="s">
        <v>86</v>
      </c>
      <c r="Z43" s="6" t="s">
        <v>73</v>
      </c>
    </row>
    <row r="44" spans="1:26" ht="28.8" x14ac:dyDescent="0.3">
      <c r="A44" s="6" t="s">
        <v>32</v>
      </c>
      <c r="B44" s="8" t="s">
        <v>47</v>
      </c>
      <c r="C44" s="8" t="s">
        <v>22</v>
      </c>
      <c r="Q44" s="7">
        <v>8</v>
      </c>
      <c r="W44" s="9">
        <v>8</v>
      </c>
      <c r="X44" s="6" t="s">
        <v>46</v>
      </c>
      <c r="Y44" s="6" t="s">
        <v>86</v>
      </c>
      <c r="Z44" s="6" t="s">
        <v>73</v>
      </c>
    </row>
    <row r="45" spans="1:26" ht="28.8" x14ac:dyDescent="0.3">
      <c r="A45" s="6" t="s">
        <v>32</v>
      </c>
      <c r="B45" s="8" t="s">
        <v>47</v>
      </c>
      <c r="C45" s="8" t="s">
        <v>64</v>
      </c>
      <c r="O45" s="7">
        <v>40</v>
      </c>
      <c r="W45" s="9">
        <v>40</v>
      </c>
      <c r="X45" s="6" t="s">
        <v>46</v>
      </c>
      <c r="Y45" s="6" t="s">
        <v>86</v>
      </c>
      <c r="Z45" s="6" t="s">
        <v>73</v>
      </c>
    </row>
    <row r="46" spans="1:26" ht="28.8" x14ac:dyDescent="0.3">
      <c r="A46" s="6" t="s">
        <v>32</v>
      </c>
      <c r="B46" s="8" t="s">
        <v>47</v>
      </c>
      <c r="C46" s="8" t="s">
        <v>100</v>
      </c>
      <c r="I46" s="7">
        <v>12</v>
      </c>
      <c r="J46" s="7">
        <v>12</v>
      </c>
      <c r="K46" s="7">
        <v>12</v>
      </c>
      <c r="L46" s="7">
        <v>12</v>
      </c>
      <c r="W46" s="9">
        <v>48</v>
      </c>
      <c r="X46" s="6" t="s">
        <v>46</v>
      </c>
      <c r="Y46" s="6" t="s">
        <v>86</v>
      </c>
      <c r="Z46" s="6" t="s">
        <v>73</v>
      </c>
    </row>
    <row r="47" spans="1:26" ht="28.8" x14ac:dyDescent="0.3">
      <c r="A47" s="6" t="s">
        <v>32</v>
      </c>
      <c r="B47" s="8" t="s">
        <v>47</v>
      </c>
      <c r="C47" s="8" t="s">
        <v>90</v>
      </c>
      <c r="I47" s="7">
        <v>1</v>
      </c>
      <c r="J47" s="7">
        <v>1</v>
      </c>
      <c r="K47" s="7">
        <v>1</v>
      </c>
      <c r="L47" s="7">
        <v>1</v>
      </c>
      <c r="M47" s="7">
        <v>1</v>
      </c>
      <c r="N47" s="7">
        <v>1</v>
      </c>
      <c r="O47" s="7">
        <v>1</v>
      </c>
      <c r="P47" s="7">
        <v>1</v>
      </c>
      <c r="Q47" s="7">
        <v>1</v>
      </c>
      <c r="R47" s="7">
        <v>1</v>
      </c>
      <c r="S47" s="7">
        <v>1</v>
      </c>
      <c r="T47" s="7">
        <v>1</v>
      </c>
      <c r="W47" s="9">
        <v>12</v>
      </c>
      <c r="X47" s="6" t="s">
        <v>46</v>
      </c>
      <c r="Y47" s="6" t="s">
        <v>86</v>
      </c>
      <c r="Z47" s="6" t="s">
        <v>73</v>
      </c>
    </row>
    <row r="48" spans="1:26" ht="28.8" x14ac:dyDescent="0.3">
      <c r="A48" s="6" t="s">
        <v>32</v>
      </c>
      <c r="B48" s="8" t="s">
        <v>31</v>
      </c>
      <c r="C48" s="8" t="s">
        <v>48</v>
      </c>
      <c r="J48" s="7">
        <v>2</v>
      </c>
      <c r="K48" s="7">
        <v>2</v>
      </c>
      <c r="L48" s="7">
        <v>2</v>
      </c>
      <c r="M48" s="7">
        <v>2</v>
      </c>
      <c r="N48" s="7">
        <v>2</v>
      </c>
      <c r="O48" s="7">
        <v>2</v>
      </c>
      <c r="P48" s="7">
        <v>2</v>
      </c>
      <c r="Q48" s="7">
        <v>2</v>
      </c>
      <c r="R48" s="7">
        <v>2</v>
      </c>
      <c r="S48" s="7">
        <v>2</v>
      </c>
      <c r="T48" s="7">
        <v>2</v>
      </c>
      <c r="U48" s="7">
        <v>2</v>
      </c>
      <c r="V48" s="7">
        <v>2</v>
      </c>
      <c r="W48" s="9">
        <v>38</v>
      </c>
      <c r="X48" s="6" t="s">
        <v>46</v>
      </c>
      <c r="Y48" s="6" t="s">
        <v>86</v>
      </c>
      <c r="Z48" s="6" t="s">
        <v>73</v>
      </c>
    </row>
    <row r="49" spans="1:26" ht="28.8" x14ac:dyDescent="0.3">
      <c r="A49" s="6" t="s">
        <v>32</v>
      </c>
      <c r="B49" s="8" t="s">
        <v>102</v>
      </c>
      <c r="C49" s="8" t="s">
        <v>21</v>
      </c>
      <c r="F49" s="7">
        <v>33</v>
      </c>
      <c r="G49" s="7">
        <v>33</v>
      </c>
      <c r="H49" s="7">
        <v>33</v>
      </c>
      <c r="I49" s="7">
        <v>33</v>
      </c>
      <c r="J49" s="7">
        <v>33</v>
      </c>
      <c r="K49" s="7">
        <v>33</v>
      </c>
      <c r="L49" s="7">
        <v>33</v>
      </c>
      <c r="M49" s="7">
        <v>33</v>
      </c>
      <c r="N49" s="7">
        <v>33</v>
      </c>
      <c r="O49" s="7">
        <v>33</v>
      </c>
      <c r="P49" s="7">
        <v>33</v>
      </c>
      <c r="Q49" s="7">
        <v>33</v>
      </c>
      <c r="R49" s="7">
        <v>33</v>
      </c>
      <c r="S49" s="7">
        <v>33</v>
      </c>
      <c r="T49" s="7">
        <v>33</v>
      </c>
      <c r="U49" s="7">
        <v>33</v>
      </c>
      <c r="V49" s="7">
        <v>33</v>
      </c>
      <c r="W49" s="9">
        <v>561</v>
      </c>
      <c r="X49" s="6" t="s">
        <v>46</v>
      </c>
      <c r="Y49" s="6" t="s">
        <v>86</v>
      </c>
      <c r="Z49" s="6" t="s">
        <v>73</v>
      </c>
    </row>
    <row r="50" spans="1:26" x14ac:dyDescent="0.3">
      <c r="A50" s="6" t="s">
        <v>32</v>
      </c>
      <c r="B50" s="8" t="s">
        <v>11</v>
      </c>
      <c r="C50" s="8" t="s">
        <v>21</v>
      </c>
      <c r="G50" s="7">
        <v>21</v>
      </c>
      <c r="H50" s="7">
        <v>21</v>
      </c>
      <c r="I50" s="7">
        <v>21</v>
      </c>
      <c r="J50" s="7">
        <v>21</v>
      </c>
      <c r="W50" s="9">
        <v>84</v>
      </c>
      <c r="X50" s="6" t="s">
        <v>46</v>
      </c>
      <c r="Y50" s="6" t="s">
        <v>86</v>
      </c>
      <c r="Z50" s="6" t="s">
        <v>73</v>
      </c>
    </row>
    <row r="51" spans="1:26" x14ac:dyDescent="0.3">
      <c r="A51" s="6" t="s">
        <v>32</v>
      </c>
      <c r="B51" s="8" t="s">
        <v>83</v>
      </c>
      <c r="C51" s="8" t="s">
        <v>60</v>
      </c>
      <c r="D51" s="10">
        <v>46101</v>
      </c>
      <c r="H51" s="7">
        <v>5</v>
      </c>
      <c r="I51" s="7">
        <v>5</v>
      </c>
      <c r="J51" s="7">
        <v>5</v>
      </c>
      <c r="K51" s="7">
        <v>5</v>
      </c>
      <c r="W51" s="9">
        <v>20</v>
      </c>
      <c r="X51" s="6" t="s">
        <v>46</v>
      </c>
      <c r="Y51" s="6" t="s">
        <v>85</v>
      </c>
      <c r="Z51" s="6" t="s">
        <v>27</v>
      </c>
    </row>
    <row r="52" spans="1:26" ht="19.05" customHeight="1" x14ac:dyDescent="0.3">
      <c r="A52" s="12" t="s">
        <v>32</v>
      </c>
      <c r="B52" s="12"/>
      <c r="C52" s="12"/>
      <c r="D52" s="12"/>
      <c r="E52" s="1">
        <f t="shared" ref="E52:W52" si="0">SUBTOTAL(9,E3:E51)</f>
        <v>242.5</v>
      </c>
      <c r="F52" s="1">
        <f t="shared" si="0"/>
        <v>263.5</v>
      </c>
      <c r="G52" s="1">
        <f t="shared" si="0"/>
        <v>249.5</v>
      </c>
      <c r="H52" s="1">
        <f t="shared" si="0"/>
        <v>240</v>
      </c>
      <c r="I52" s="1">
        <f t="shared" si="0"/>
        <v>196.5</v>
      </c>
      <c r="J52" s="1">
        <f t="shared" si="0"/>
        <v>232</v>
      </c>
      <c r="K52" s="1">
        <f t="shared" si="0"/>
        <v>150.5</v>
      </c>
      <c r="L52" s="1">
        <f t="shared" si="0"/>
        <v>139</v>
      </c>
      <c r="M52" s="1">
        <f t="shared" si="0"/>
        <v>130</v>
      </c>
      <c r="N52" s="1">
        <f t="shared" si="0"/>
        <v>146</v>
      </c>
      <c r="O52" s="1">
        <f t="shared" si="0"/>
        <v>114</v>
      </c>
      <c r="P52" s="1">
        <f t="shared" si="0"/>
        <v>49</v>
      </c>
      <c r="Q52" s="1">
        <f t="shared" si="0"/>
        <v>59</v>
      </c>
      <c r="R52" s="1">
        <f t="shared" si="0"/>
        <v>114</v>
      </c>
      <c r="S52" s="1">
        <f t="shared" si="0"/>
        <v>69</v>
      </c>
      <c r="T52" s="1">
        <f t="shared" si="0"/>
        <v>43</v>
      </c>
      <c r="U52" s="1">
        <f t="shared" si="0"/>
        <v>43</v>
      </c>
      <c r="V52" s="1">
        <f t="shared" si="0"/>
        <v>45</v>
      </c>
      <c r="W52" s="2">
        <f t="shared" si="0"/>
        <v>2547.5</v>
      </c>
    </row>
  </sheetData>
  <mergeCells count="2">
    <mergeCell ref="A2:Z2"/>
    <mergeCell ref="A52:D52"/>
  </mergeCells>
  <pageMargins left="0.7" right="0.7" top="0.75" bottom="0.75" header="0.3" footer="0.3"/>
  <pageSetup fitToHeight="1000" orientation="landscape"/>
  <headerFooter>
    <oddHeader>&amp;L&amp;"Calibri,Bold"&amp;22*CWP Monthly Allocations (with tasks)&amp;"Calibri,Bold"&amp;11</oddHeader>
    <oddFooter>&amp;R&amp;"Calibri,Regular"&amp;6Page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Kaitie Evers</dc:creator>
  <cp:lastModifiedBy>Kaitie Evers</cp:lastModifiedBy>
  <dcterms:created xsi:type="dcterms:W3CDTF">2026-03-24T19:15:37Z</dcterms:created>
  <dcterms:modified xsi:type="dcterms:W3CDTF">2026-03-24T19:15:37Z</dcterms:modified>
</cp:coreProperties>
</file>